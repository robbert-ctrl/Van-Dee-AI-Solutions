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es" sheetId="1" state="visible" r:id="rId1"/>
    <sheet xmlns:r="http://schemas.openxmlformats.org/officeDocument/2006/relationships" name="1. Tool Inventaris" sheetId="2" state="visible" r:id="rId2"/>
    <sheet xmlns:r="http://schemas.openxmlformats.org/officeDocument/2006/relationships" name="2. Gap Analyse" sheetId="3" state="visible" r:id="rId3"/>
    <sheet xmlns:r="http://schemas.openxmlformats.org/officeDocument/2006/relationships" name="3. ROI Calculator" sheetId="4" state="visible" r:id="rId4"/>
    <sheet xmlns:r="http://schemas.openxmlformats.org/officeDocument/2006/relationships" name="4. Actieplan" sheetId="5" state="visible" r:id="rId5"/>
    <sheet xmlns:r="http://schemas.openxmlformats.org/officeDocument/2006/relationships" name="5. Volgende Stapp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€ #,##0"/>
    <numFmt numFmtId="165" formatCode="€ #,##0.00"/>
    <numFmt numFmtId="166" formatCode="0&quot; uren&quot;"/>
    <numFmt numFmtId="167" formatCode="0&quot; weken&quot;"/>
    <numFmt numFmtId="168" formatCode="0.0&quot; maanden&quot;"/>
  </numFmts>
  <fonts count="40">
    <font>
      <name val="Calibri"/>
      <family val="2"/>
      <color theme="1"/>
      <sz val="11"/>
      <scheme val="minor"/>
    </font>
    <font>
      <name val="Calibri"/>
      <b val="1"/>
      <color rgb="000F172A"/>
      <sz val="28"/>
    </font>
    <font>
      <name val="Calibri"/>
      <i val="1"/>
      <color rgb="00EA580C"/>
      <sz val="12"/>
    </font>
    <font>
      <name val="Calibri"/>
      <b val="1"/>
      <color rgb="000F172A"/>
      <sz val="14"/>
    </font>
    <font>
      <name val="Calibri"/>
      <color rgb="00475569"/>
      <sz val="11"/>
    </font>
    <font>
      <name val="Calibri"/>
      <b val="1"/>
      <color rgb="000F172A"/>
      <sz val="12"/>
    </font>
    <font>
      <name val="Calibri"/>
      <i val="1"/>
      <color rgb="00475569"/>
      <sz val="10"/>
    </font>
    <font>
      <name val="Calibri"/>
      <b val="1"/>
      <color rgb="00EA580C"/>
      <sz val="12"/>
    </font>
    <font>
      <name val="Calibri"/>
      <color rgb="00475569"/>
      <sz val="10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EA580C"/>
      <sz val="12"/>
      <u val="single"/>
    </font>
    <font>
      <name val="Calibri"/>
      <b val="1"/>
      <color rgb="000F172A"/>
      <sz val="22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F172A"/>
      <sz val="11"/>
    </font>
    <font>
      <name val="Calibri"/>
      <i val="1"/>
      <color rgb="0094A3B8"/>
      <sz val="11"/>
    </font>
    <font>
      <b val="1"/>
      <color rgb="00FFFFFF"/>
      <sz val="12"/>
    </font>
    <font>
      <b val="1"/>
      <color rgb="00475569"/>
      <sz val="12"/>
    </font>
    <font>
      <b val="1"/>
      <color rgb="000F172A"/>
      <sz val="14"/>
    </font>
    <font>
      <b val="1"/>
      <color rgb="00475569"/>
      <sz val="11"/>
    </font>
    <font>
      <i val="1"/>
      <color rgb="00475569"/>
      <sz val="10"/>
    </font>
    <font>
      <color rgb="00475569"/>
      <sz val="10"/>
    </font>
    <font>
      <b val="1"/>
      <color rgb="000F172A"/>
      <sz val="11"/>
    </font>
    <font>
      <b val="1"/>
      <i val="1"/>
      <color rgb="00EA580C"/>
      <sz val="11"/>
    </font>
    <font>
      <name val="Calibri"/>
      <b val="1"/>
      <color rgb="00FFFFFF"/>
      <sz val="12"/>
    </font>
    <font>
      <name val="Calibri"/>
      <b val="1"/>
      <color rgb="00EA580C"/>
      <sz val="18"/>
    </font>
    <font>
      <b val="1"/>
      <color rgb="000F172A"/>
      <sz val="12"/>
    </font>
    <font>
      <b val="1"/>
      <color rgb="00EA580C"/>
      <sz val="18"/>
    </font>
    <font>
      <b val="1"/>
      <color rgb="00FFFFFF"/>
      <sz val="14"/>
    </font>
    <font>
      <color rgb="00475569"/>
      <sz val="11"/>
    </font>
    <font>
      <b val="1"/>
      <color rgb="00EA580C"/>
      <sz val="12"/>
    </font>
    <font>
      <name val="Calibri"/>
      <color rgb="000F172A"/>
      <sz val="11"/>
    </font>
    <font>
      <name val="Calibri"/>
      <b val="1"/>
      <i val="1"/>
      <color rgb="00EA580C"/>
      <sz val="11"/>
    </font>
    <font>
      <name val="Calibri"/>
      <i val="1"/>
      <color rgb="00475569"/>
      <sz val="12"/>
    </font>
    <font>
      <name val="Calibri"/>
      <b val="1"/>
      <color rgb="00475569"/>
      <sz val="12"/>
    </font>
    <font>
      <name val="Calibri"/>
      <b val="1"/>
      <color rgb="00FFFFFF"/>
      <sz val="18"/>
    </font>
    <font>
      <name val="Calibri"/>
      <b val="1"/>
      <color rgb="00EA580C"/>
      <sz val="14"/>
      <u val="single"/>
    </font>
    <font>
      <name val="Calibri"/>
      <color rgb="00EA580C"/>
      <sz val="10"/>
      <u val="single"/>
    </font>
  </fonts>
  <fills count="9">
    <fill>
      <patternFill/>
    </fill>
    <fill>
      <patternFill patternType="gray125"/>
    </fill>
    <fill>
      <patternFill patternType="solid">
        <fgColor rgb="00F5F5EE"/>
      </patternFill>
    </fill>
    <fill>
      <patternFill patternType="solid">
        <fgColor rgb="000F172A"/>
      </patternFill>
    </fill>
    <fill>
      <patternFill patternType="solid">
        <fgColor rgb="00D1FAE5"/>
      </patternFill>
    </fill>
    <fill>
      <patternFill patternType="solid">
        <fgColor rgb="00FED7AA"/>
      </patternFill>
    </fill>
    <fill>
      <patternFill patternType="solid">
        <fgColor rgb="00EA580C"/>
      </patternFill>
    </fill>
    <fill>
      <patternFill patternType="solid">
        <fgColor rgb="00475569"/>
      </patternFill>
    </fill>
    <fill>
      <patternFill patternType="solid">
        <fgColor rgb="0094A3B8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E2E8F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7" fillId="2" borderId="0" pivotButton="0" quotePrefix="0" xfId="0"/>
    <xf numFmtId="0" fontId="8" fillId="2" borderId="0" applyAlignment="1" pivotButton="0" quotePrefix="0" xfId="0">
      <alignment vertical="top" wrapText="1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164" fontId="15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right" vertical="center"/>
    </xf>
    <xf numFmtId="165" fontId="15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164" fontId="15" fillId="2" borderId="2" applyAlignment="1" pivotButton="0" quotePrefix="0" xfId="0">
      <alignment horizontal="right" vertical="center"/>
    </xf>
    <xf numFmtId="0" fontId="15" fillId="2" borderId="2" applyAlignment="1" pivotButton="0" quotePrefix="0" xfId="0">
      <alignment horizontal="right" vertical="center"/>
    </xf>
    <xf numFmtId="165" fontId="15" fillId="2" borderId="2" applyAlignment="1" pivotButton="0" quotePrefix="0" xfId="0">
      <alignment horizontal="right" vertical="center"/>
    </xf>
    <xf numFmtId="0" fontId="16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/>
    </xf>
    <xf numFmtId="0" fontId="0" fillId="4" borderId="2" pivotButton="0" quotePrefix="0" xfId="0"/>
    <xf numFmtId="0" fontId="18" fillId="3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vertical="center"/>
    </xf>
    <xf numFmtId="164" fontId="18" fillId="3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right" vertical="center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0" fillId="0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right" vertical="center"/>
    </xf>
    <xf numFmtId="0" fontId="24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1" fontId="0" fillId="2" borderId="2" applyAlignment="1" pivotButton="0" quotePrefix="0" xfId="0">
      <alignment horizontal="right" vertical="center"/>
    </xf>
    <xf numFmtId="0" fontId="24" fillId="2" borderId="2" applyAlignment="1" pivotButton="0" quotePrefix="0" xfId="0">
      <alignment horizontal="center" vertical="center"/>
    </xf>
    <xf numFmtId="0" fontId="22" fillId="2" borderId="2" applyAlignment="1" pivotButton="0" quotePrefix="0" xfId="0">
      <alignment horizontal="left" vertical="center"/>
    </xf>
    <xf numFmtId="0" fontId="18" fillId="3" borderId="0" pivotButton="0" quotePrefix="0" xfId="0"/>
    <xf numFmtId="166" fontId="18" fillId="3" borderId="0" applyAlignment="1" pivotButton="0" quotePrefix="0" xfId="0">
      <alignment horizontal="right" vertical="center"/>
    </xf>
    <xf numFmtId="0" fontId="25" fillId="5" borderId="0" applyAlignment="1" pivotButton="0" quotePrefix="0" xfId="0">
      <alignment horizontal="center" vertical="center"/>
    </xf>
    <xf numFmtId="0" fontId="26" fillId="3" borderId="0" applyAlignment="1" pivotButton="0" quotePrefix="0" xfId="0">
      <alignment horizontal="left" vertical="center" indent="1"/>
    </xf>
    <xf numFmtId="0" fontId="4" fillId="0" borderId="2" applyAlignment="1" pivotButton="0" quotePrefix="0" xfId="0">
      <alignment vertical="center" indent="1"/>
    </xf>
    <xf numFmtId="164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7" fontId="3" fillId="4" borderId="1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 indent="1"/>
    </xf>
    <xf numFmtId="164" fontId="5" fillId="0" borderId="2" applyAlignment="1" pivotButton="0" quotePrefix="0" xfId="0">
      <alignment horizontal="right" vertical="center"/>
    </xf>
    <xf numFmtId="164" fontId="27" fillId="0" borderId="2" applyAlignment="1" pivotButton="0" quotePrefix="0" xfId="0">
      <alignment horizontal="right" vertical="center"/>
    </xf>
    <xf numFmtId="0" fontId="26" fillId="7" borderId="0" applyAlignment="1" pivotButton="0" quotePrefix="0" xfId="0">
      <alignment horizontal="left" vertical="center" indent="1"/>
    </xf>
    <xf numFmtId="164" fontId="28" fillId="4" borderId="1" applyAlignment="1" pivotButton="0" quotePrefix="0" xfId="0">
      <alignment horizontal="right" vertical="center"/>
    </xf>
    <xf numFmtId="168" fontId="20" fillId="0" borderId="2" applyAlignment="1" pivotButton="0" quotePrefix="0" xfId="0">
      <alignment horizontal="right" vertical="center"/>
    </xf>
    <xf numFmtId="9" fontId="29" fillId="0" borderId="2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 wrapText="1" indent="1"/>
    </xf>
    <xf numFmtId="0" fontId="30" fillId="6" borderId="1" applyAlignment="1" pivotButton="0" quotePrefix="0" xfId="0">
      <alignment horizontal="center" vertical="center"/>
    </xf>
    <xf numFmtId="0" fontId="16" fillId="0" borderId="2" applyAlignment="1" pivotButton="0" quotePrefix="0" xfId="0">
      <alignment vertical="center" indent="1"/>
    </xf>
    <xf numFmtId="166" fontId="31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2" fontId="3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33" fillId="0" borderId="2" applyAlignment="1" pivotButton="0" quotePrefix="0" xfId="0">
      <alignment vertical="center" indent="1"/>
    </xf>
    <xf numFmtId="2" fontId="28" fillId="0" borderId="2" applyAlignment="1" pivotButton="0" quotePrefix="0" xfId="0">
      <alignment horizontal="center" vertical="center"/>
    </xf>
    <xf numFmtId="0" fontId="34" fillId="5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 indent="2"/>
    </xf>
    <xf numFmtId="0" fontId="36" fillId="0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 indent="1"/>
    </xf>
    <xf numFmtId="0" fontId="7" fillId="0" borderId="0" applyAlignment="1" pivotButton="0" quotePrefix="0" xfId="0">
      <alignment vertical="center" indent="1"/>
    </xf>
    <xf numFmtId="0" fontId="37" fillId="3" borderId="0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059669"/>
      </font>
      <fill>
        <patternFill patternType="solid">
          <fgColor rgb="00D1FAE5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l.com/vandeeaisolutions/discoverycall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cal.com/vandeeaisolutions/discoverycall" TargetMode="External" Id="rId1"/><Relationship Type="http://schemas.openxmlformats.org/officeDocument/2006/relationships/hyperlink" Target="https://vandeeaisolutions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0" customWidth="1" min="2" max="2"/>
    <col width="2" customWidth="1" min="3" max="3"/>
  </cols>
  <sheetData>
    <row r="2" ht="38" customHeight="1">
      <c r="B2" s="1" t="inlineStr">
        <is>
          <t>Tech Stack Audit</t>
        </is>
      </c>
    </row>
    <row r="3" ht="22" customHeight="1">
      <c r="B3" s="2" t="inlineStr">
        <is>
          <t>Van Dee AI Solutions  ·  Gratis template voor MKB-bedrijven</t>
        </is>
      </c>
    </row>
    <row r="4" ht="10" customHeight="1"/>
    <row r="5" ht="24" customHeight="1">
      <c r="B5" s="3" t="inlineStr">
        <is>
          <t>Welkom 👋</t>
        </is>
      </c>
    </row>
    <row r="6" ht="38" customHeight="1">
      <c r="B6" s="4" t="inlineStr">
        <is>
          <t>Deze audit helpt je in 30 minuten te ontdekken welke tools je teveel betaalt, welke processen automatiseerbaar zijn met AI, en wat het je oplevert in euro's.</t>
        </is>
      </c>
    </row>
    <row r="7" ht="10" customHeight="1"/>
    <row r="8" ht="24" customHeight="1">
      <c r="B8" s="3" t="inlineStr">
        <is>
          <t>Zo werkt het</t>
        </is>
      </c>
    </row>
    <row r="9" ht="22" customHeight="1">
      <c r="B9" s="5" t="inlineStr">
        <is>
          <t xml:space="preserve">  1    Tabblad 'Tool Inventaris'</t>
        </is>
      </c>
    </row>
    <row r="10" ht="18" customHeight="1">
      <c r="B10" s="6" t="inlineStr">
        <is>
          <t xml:space="preserve">           Vul al je huidige software in. De aanbeveling-kolom geeft direct advies.</t>
        </is>
      </c>
    </row>
    <row r="11" ht="22" customHeight="1">
      <c r="B11" s="5" t="inlineStr">
        <is>
          <t xml:space="preserve">  2    Tabblad 'Gap Analyse'</t>
        </is>
      </c>
    </row>
    <row r="12" ht="18" customHeight="1">
      <c r="B12" s="6" t="inlineStr">
        <is>
          <t xml:space="preserve">           Welke processen kosten veel tijd? Welke zijn AI-rijp?</t>
        </is>
      </c>
    </row>
    <row r="13" ht="22" customHeight="1">
      <c r="B13" s="5" t="inlineStr">
        <is>
          <t xml:space="preserve">  3    Tabblad 'ROI Calculator'</t>
        </is>
      </c>
    </row>
    <row r="14" ht="18" customHeight="1">
      <c r="B14" s="6" t="inlineStr">
        <is>
          <t xml:space="preserve">           Vul je uurtarief in. Zie meteen je jaarlijkse besparing.</t>
        </is>
      </c>
    </row>
    <row r="15" ht="22" customHeight="1">
      <c r="B15" s="5" t="inlineStr">
        <is>
          <t xml:space="preserve">  4    Tabblad 'Actieplan'</t>
        </is>
      </c>
    </row>
    <row r="16" ht="18" customHeight="1">
      <c r="B16" s="6" t="inlineStr">
        <is>
          <t xml:space="preserve">           Geprioriteerde lijst — waar begin je vandaag?</t>
        </is>
      </c>
    </row>
    <row r="17" ht="14" customHeight="1"/>
    <row r="18" ht="22" customHeight="1">
      <c r="B18" s="7" t="inlineStr">
        <is>
          <t>💡 Tip</t>
        </is>
      </c>
    </row>
    <row r="19" ht="36" customHeight="1">
      <c r="B19" s="8" t="inlineStr">
        <is>
          <t>De voorbeelddata in elk tabblad mag je gewoon vervangen door je eigen cijfers. De formules berekenen automatisch je totalen en besparingen.</t>
        </is>
      </c>
    </row>
    <row r="21" ht="14" customHeight="1"/>
    <row r="22" ht="32" customHeight="1">
      <c r="B22" s="9" t="inlineStr">
        <is>
          <t>Hulp nodig bij implementatie?</t>
        </is>
      </c>
    </row>
    <row r="23" ht="22" customHeight="1">
      <c r="B23" s="10" t="inlineStr">
        <is>
          <t>Plan een gratis strategiegesprek (30 min, geen verkoopverhaal)</t>
        </is>
      </c>
    </row>
    <row r="24" ht="28" customHeight="1">
      <c r="B24" s="11" t="inlineStr">
        <is>
          <t>👉  cal.com/vandeeaisolutions/discoverycall</t>
        </is>
      </c>
    </row>
  </sheetData>
  <mergeCells count="6">
    <mergeCell ref="B9"/>
    <mergeCell ref="B13"/>
    <mergeCell ref="B15"/>
    <mergeCell ref="B11"/>
    <mergeCell ref="B2"/>
    <mergeCell ref="B22"/>
  </mergeCells>
  <hyperlinks>
    <hyperlink xmlns:r="http://schemas.openxmlformats.org/officeDocument/2006/relationships" ref="B2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28" customWidth="1" min="10" max="10"/>
    <col width="2" customWidth="1" min="11" max="11"/>
  </cols>
  <sheetData>
    <row r="2" ht="32" customHeight="1">
      <c r="B2" s="12" t="inlineStr">
        <is>
          <t>Tool Inventaris</t>
        </is>
      </c>
    </row>
    <row r="3" ht="18" customHeight="1">
      <c r="B3" s="13" t="inlineStr">
        <is>
          <t>Overzicht van alle tools die je nu gebruikt — vul je eigen cijfers in de groene kolommen in</t>
        </is>
      </c>
    </row>
    <row r="4" ht="8" customHeight="1"/>
    <row r="5" ht="28" customHeight="1">
      <c r="B5" s="14" t="inlineStr">
        <is>
          <t>#</t>
        </is>
      </c>
      <c r="C5" s="14" t="inlineStr">
        <is>
          <t>Tool</t>
        </is>
      </c>
      <c r="D5" s="14" t="inlineStr">
        <is>
          <t>Categorie</t>
        </is>
      </c>
      <c r="E5" s="14" t="inlineStr">
        <is>
          <t>Kosten/maand (€)</t>
        </is>
      </c>
      <c r="F5" s="14" t="inlineStr">
        <is>
          <t>Gebruikers</t>
        </is>
      </c>
      <c r="G5" s="14" t="inlineStr">
        <is>
          <t>Gebruik (1-5)</t>
        </is>
      </c>
      <c r="H5" s="14" t="inlineStr">
        <is>
          <t>Waarde (1-5)</t>
        </is>
      </c>
      <c r="I5" s="14" t="inlineStr">
        <is>
          <t>€/gebruiker</t>
        </is>
      </c>
      <c r="J5" s="14" t="inlineStr">
        <is>
          <t>Aanbeveling</t>
        </is>
      </c>
    </row>
    <row r="6" ht="22" customHeight="1">
      <c r="B6" s="15" t="n">
        <v>1</v>
      </c>
      <c r="C6" s="15" t="inlineStr">
        <is>
          <t>Slack</t>
        </is>
      </c>
      <c r="D6" s="15" t="inlineStr">
        <is>
          <t>Communicatie</t>
        </is>
      </c>
      <c r="E6" s="16" t="n">
        <v>120</v>
      </c>
      <c r="F6" s="17" t="n">
        <v>15</v>
      </c>
      <c r="G6" s="17" t="n">
        <v>5</v>
      </c>
      <c r="H6" s="17" t="n">
        <v>4</v>
      </c>
      <c r="I6" s="18">
        <f>D6/E6</f>
        <v/>
      </c>
      <c r="J6" s="19" t="inlineStr">
        <is>
          <t>HOUDEN</t>
        </is>
      </c>
    </row>
    <row r="7" ht="22" customHeight="1">
      <c r="B7" s="20" t="n">
        <v>2</v>
      </c>
      <c r="C7" s="20" t="inlineStr">
        <is>
          <t>HubSpot CRM</t>
        </is>
      </c>
      <c r="D7" s="20" t="inlineStr">
        <is>
          <t>Sales / Marketing</t>
        </is>
      </c>
      <c r="E7" s="21" t="n">
        <v>450</v>
      </c>
      <c r="F7" s="22" t="n">
        <v>8</v>
      </c>
      <c r="G7" s="22" t="n">
        <v>4</v>
      </c>
      <c r="H7" s="22" t="n">
        <v>4</v>
      </c>
      <c r="I7" s="23">
        <f>D7/E7</f>
        <v/>
      </c>
      <c r="J7" s="24" t="inlineStr">
        <is>
          <t>HOUDEN</t>
        </is>
      </c>
    </row>
    <row r="8" ht="22" customHeight="1">
      <c r="B8" s="15" t="n">
        <v>3</v>
      </c>
      <c r="C8" s="15" t="inlineStr">
        <is>
          <t>Asana</t>
        </is>
      </c>
      <c r="D8" s="15" t="inlineStr">
        <is>
          <t>Project Management</t>
        </is>
      </c>
      <c r="E8" s="16" t="n">
        <v>180</v>
      </c>
      <c r="F8" s="17" t="n">
        <v>12</v>
      </c>
      <c r="G8" s="17" t="n">
        <v>3</v>
      </c>
      <c r="H8" s="17" t="n">
        <v>3</v>
      </c>
      <c r="I8" s="18">
        <f>D8/E8</f>
        <v/>
      </c>
      <c r="J8" s="19" t="inlineStr">
        <is>
          <t>EVALUEREN</t>
        </is>
      </c>
    </row>
    <row r="9" ht="22" customHeight="1">
      <c r="B9" s="20" t="n">
        <v>4</v>
      </c>
      <c r="C9" s="20" t="inlineStr">
        <is>
          <t>Notion</t>
        </is>
      </c>
      <c r="D9" s="20" t="inlineStr">
        <is>
          <t>Documentatie</t>
        </is>
      </c>
      <c r="E9" s="21" t="n">
        <v>80</v>
      </c>
      <c r="F9" s="22" t="n">
        <v>20</v>
      </c>
      <c r="G9" s="22" t="n">
        <v>4</v>
      </c>
      <c r="H9" s="22" t="n">
        <v>5</v>
      </c>
      <c r="I9" s="23">
        <f>D9/E9</f>
        <v/>
      </c>
      <c r="J9" s="24" t="inlineStr">
        <is>
          <t>HOUDEN</t>
        </is>
      </c>
    </row>
    <row r="10" ht="22" customHeight="1">
      <c r="B10" s="15" t="n">
        <v>5</v>
      </c>
      <c r="C10" s="15" t="inlineStr">
        <is>
          <t>Zapier</t>
        </is>
      </c>
      <c r="D10" s="15" t="inlineStr">
        <is>
          <t>Automatisering</t>
        </is>
      </c>
      <c r="E10" s="16" t="n">
        <v>290</v>
      </c>
      <c r="F10" s="17" t="n">
        <v>3</v>
      </c>
      <c r="G10" s="17" t="n">
        <v>3</v>
      </c>
      <c r="H10" s="17" t="n">
        <v>3</v>
      </c>
      <c r="I10" s="18">
        <f>D10/E10</f>
        <v/>
      </c>
      <c r="J10" s="19" t="inlineStr">
        <is>
          <t>VERVANGEN</t>
        </is>
      </c>
    </row>
    <row r="11" ht="22" customHeight="1">
      <c r="B11" s="20" t="n">
        <v>6</v>
      </c>
      <c r="C11" s="20" t="inlineStr">
        <is>
          <t>Make.com</t>
        </is>
      </c>
      <c r="D11" s="20" t="inlineStr">
        <is>
          <t>Automatisering</t>
        </is>
      </c>
      <c r="E11" s="21" t="n">
        <v>99</v>
      </c>
      <c r="F11" s="22" t="n">
        <v>3</v>
      </c>
      <c r="G11" s="22" t="n">
        <v>4</v>
      </c>
      <c r="H11" s="22" t="n">
        <v>5</v>
      </c>
      <c r="I11" s="23">
        <f>D11/E11</f>
        <v/>
      </c>
      <c r="J11" s="24" t="inlineStr">
        <is>
          <t>HOUDEN</t>
        </is>
      </c>
    </row>
    <row r="12" ht="22" customHeight="1">
      <c r="B12" s="15" t="n">
        <v>7</v>
      </c>
      <c r="C12" s="15" t="inlineStr">
        <is>
          <t>Claude Pro</t>
        </is>
      </c>
      <c r="D12" s="15" t="inlineStr">
        <is>
          <t>AI</t>
        </is>
      </c>
      <c r="E12" s="16" t="n">
        <v>60</v>
      </c>
      <c r="F12" s="17" t="n">
        <v>3</v>
      </c>
      <c r="G12" s="17" t="n">
        <v>5</v>
      </c>
      <c r="H12" s="17" t="n">
        <v>5</v>
      </c>
      <c r="I12" s="18">
        <f>D12/E12</f>
        <v/>
      </c>
      <c r="J12" s="19" t="inlineStr">
        <is>
          <t>HOUDEN</t>
        </is>
      </c>
    </row>
    <row r="13" ht="22" customHeight="1">
      <c r="B13" s="20" t="n">
        <v>8</v>
      </c>
      <c r="C13" s="20" t="inlineStr">
        <is>
          <t>ChatGPT Plus</t>
        </is>
      </c>
      <c r="D13" s="20" t="inlineStr">
        <is>
          <t>AI</t>
        </is>
      </c>
      <c r="E13" s="21" t="n">
        <v>60</v>
      </c>
      <c r="F13" s="22" t="n">
        <v>3</v>
      </c>
      <c r="G13" s="22" t="n">
        <v>2</v>
      </c>
      <c r="H13" s="22" t="n">
        <v>3</v>
      </c>
      <c r="I13" s="23">
        <f>D13/E13</f>
        <v/>
      </c>
      <c r="J13" s="24" t="inlineStr">
        <is>
          <t>SCHRAPPEN</t>
        </is>
      </c>
    </row>
    <row r="14" ht="22" customHeight="1">
      <c r="B14" s="15" t="n">
        <v>9</v>
      </c>
      <c r="C14" s="15" t="inlineStr">
        <is>
          <t>Google Workspace</t>
        </is>
      </c>
      <c r="D14" s="15" t="inlineStr">
        <is>
          <t>Productiviteit</t>
        </is>
      </c>
      <c r="E14" s="16" t="n">
        <v>180</v>
      </c>
      <c r="F14" s="17" t="n">
        <v>15</v>
      </c>
      <c r="G14" s="17" t="n">
        <v>5</v>
      </c>
      <c r="H14" s="17" t="n">
        <v>5</v>
      </c>
      <c r="I14" s="18">
        <f>D14/E14</f>
        <v/>
      </c>
      <c r="J14" s="19" t="inlineStr">
        <is>
          <t>HOUDEN</t>
        </is>
      </c>
    </row>
    <row r="15" ht="22" customHeight="1">
      <c r="B15" s="20" t="n">
        <v>10</v>
      </c>
      <c r="C15" s="20" t="inlineStr">
        <is>
          <t>Microsoft 365</t>
        </is>
      </c>
      <c r="D15" s="20" t="inlineStr">
        <is>
          <t>Productiviteit</t>
        </is>
      </c>
      <c r="E15" s="21" t="n">
        <v>225</v>
      </c>
      <c r="F15" s="22" t="n">
        <v>15</v>
      </c>
      <c r="G15" s="22" t="n">
        <v>3</v>
      </c>
      <c r="H15" s="22" t="n">
        <v>3</v>
      </c>
      <c r="I15" s="23">
        <f>D15/E15</f>
        <v/>
      </c>
      <c r="J15" s="24" t="inlineStr">
        <is>
          <t>EVALUEREN</t>
        </is>
      </c>
    </row>
    <row r="16" ht="22" customHeight="1">
      <c r="B16" s="25" t="n">
        <v>11</v>
      </c>
      <c r="C16" s="26" t="n"/>
      <c r="D16" s="26" t="n"/>
      <c r="E16" s="26" t="n"/>
      <c r="F16" s="26" t="n"/>
      <c r="G16" s="26" t="n"/>
      <c r="H16" s="26" t="n"/>
      <c r="I16" s="26" t="n"/>
      <c r="J16" s="26" t="n"/>
    </row>
    <row r="17" ht="22" customHeight="1">
      <c r="B17" s="25" t="n">
        <v>12</v>
      </c>
      <c r="C17" s="26" t="n"/>
      <c r="D17" s="26" t="n"/>
      <c r="E17" s="26" t="n"/>
      <c r="F17" s="26" t="n"/>
      <c r="G17" s="26" t="n"/>
      <c r="H17" s="26" t="n"/>
      <c r="I17" s="26" t="n"/>
      <c r="J17" s="26" t="n"/>
    </row>
    <row r="18" ht="22" customHeight="1">
      <c r="B18" s="25" t="n">
        <v>13</v>
      </c>
      <c r="C18" s="26" t="n"/>
      <c r="D18" s="26" t="n"/>
      <c r="E18" s="26" t="n"/>
      <c r="F18" s="26" t="n"/>
      <c r="G18" s="26" t="n"/>
      <c r="H18" s="26" t="n"/>
      <c r="I18" s="26" t="n"/>
      <c r="J18" s="26" t="n"/>
    </row>
    <row r="19" ht="22" customHeight="1">
      <c r="B19" s="25" t="n">
        <v>14</v>
      </c>
      <c r="C19" s="26" t="n"/>
      <c r="D19" s="26" t="n"/>
      <c r="E19" s="26" t="n"/>
      <c r="F19" s="26" t="n"/>
      <c r="G19" s="26" t="n"/>
      <c r="H19" s="26" t="n"/>
      <c r="I19" s="26" t="n"/>
      <c r="J19" s="26" t="n"/>
    </row>
    <row r="20" ht="22" customHeight="1">
      <c r="B20" s="25" t="n">
        <v>15</v>
      </c>
      <c r="C20" s="26" t="n"/>
      <c r="D20" s="26" t="n"/>
      <c r="E20" s="26" t="n"/>
      <c r="F20" s="26" t="n"/>
      <c r="G20" s="26" t="n"/>
      <c r="H20" s="26" t="n"/>
      <c r="I20" s="26" t="n"/>
      <c r="J20" s="26" t="n"/>
    </row>
    <row r="21" ht="30" customHeight="1">
      <c r="B21" s="27" t="inlineStr">
        <is>
          <t>TOTAAL</t>
        </is>
      </c>
      <c r="C21" s="28" t="n"/>
      <c r="D21" s="28" t="n"/>
      <c r="E21" s="29">
        <f>SUM(E6:E20)</f>
        <v/>
      </c>
      <c r="F21" s="28" t="n"/>
      <c r="G21" s="28" t="n"/>
      <c r="H21" s="28" t="n"/>
      <c r="I21" s="28" t="n"/>
      <c r="J21" s="28" t="n"/>
    </row>
    <row r="23" ht="26" customHeight="1">
      <c r="B23" s="30" t="inlineStr">
        <is>
          <t>Jaarlijkse kosten</t>
        </is>
      </c>
      <c r="E23" s="31">
        <f>E21*12</f>
        <v/>
      </c>
    </row>
    <row r="26" ht="22" customHeight="1">
      <c r="B26" s="32" t="inlineStr">
        <is>
          <t>Legenda scoring</t>
        </is>
      </c>
    </row>
    <row r="27">
      <c r="B27" s="33" t="inlineStr">
        <is>
          <t>Gebruik (1-5)</t>
        </is>
      </c>
      <c r="C27" s="34" t="inlineStr">
        <is>
          <t>1 = Nauwelijks  ·  3 = Wekelijks  ·  5 = Continu dagelijks</t>
        </is>
      </c>
    </row>
    <row r="28">
      <c r="B28" s="33" t="inlineStr">
        <is>
          <t>Waarde (1-5)</t>
        </is>
      </c>
      <c r="C28" s="34" t="inlineStr">
        <is>
          <t>1 = Onmisbaar  ·  3 = Handig  ·  5 = Kan zonder</t>
        </is>
      </c>
    </row>
  </sheetData>
  <conditionalFormatting sqref="J6:J20">
    <cfRule type="expression" priority="1" dxfId="0">
      <formula>J6="HOUDEN"</formula>
    </cfRule>
    <cfRule type="expression" priority="2" dxfId="1">
      <formula>J6="EVALUEREN"</formula>
    </cfRule>
    <cfRule type="expression" priority="3" dxfId="2">
      <formula>OR(J6="VERVANGEN",J6="SCHRAPPEN")</formula>
    </cfRule>
  </conditionalFormatting>
  <conditionalFormatting sqref="G6:H20">
    <cfRule type="colorScale" priority="4">
      <colorScale>
        <cfvo type="num" val="1"/>
        <cfvo type="num" val="3"/>
        <cfvo type="num" val="5"/>
        <color rgb="00FECACA"/>
        <color rgb="00FEF3C7"/>
        <color rgb="00A7F3D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2" customWidth="1" min="4" max="4"/>
    <col width="14" customWidth="1" min="5" max="5"/>
    <col width="18" customWidth="1" min="6" max="6"/>
    <col width="18" customWidth="1" min="7" max="7"/>
    <col width="32" customWidth="1" min="8" max="8"/>
    <col width="2" customWidth="1" min="9" max="9"/>
  </cols>
  <sheetData>
    <row r="2" ht="32" customHeight="1">
      <c r="B2" s="12" t="inlineStr">
        <is>
          <t>Gap Analyse</t>
        </is>
      </c>
    </row>
    <row r="3" ht="18" customHeight="1">
      <c r="B3" s="13" t="inlineStr">
        <is>
          <t>Welke processen kosten te veel tijd? Welke zijn geschikt voor AI-automatisering?</t>
        </is>
      </c>
    </row>
    <row r="4" ht="8" customHeight="1"/>
    <row r="5" ht="28" customHeight="1">
      <c r="B5" s="14" t="inlineStr">
        <is>
          <t>#</t>
        </is>
      </c>
      <c r="C5" s="14" t="inlineStr">
        <is>
          <t>Proces</t>
        </is>
      </c>
      <c r="D5" s="14" t="inlineStr">
        <is>
          <t>Huidige tool</t>
        </is>
      </c>
      <c r="E5" s="14" t="inlineStr">
        <is>
          <t>Uren/week</t>
        </is>
      </c>
      <c r="F5" s="14" t="inlineStr">
        <is>
          <t>Automatiseerbaar</t>
        </is>
      </c>
      <c r="G5" s="14" t="inlineStr">
        <is>
          <t>Besparing (u/wk)</t>
        </is>
      </c>
      <c r="H5" s="14" t="inlineStr">
        <is>
          <t>AI-oplossing</t>
        </is>
      </c>
    </row>
    <row r="6" ht="24" customHeight="1">
      <c r="B6" s="35" t="n">
        <v>1</v>
      </c>
      <c r="C6" s="35" t="inlineStr">
        <is>
          <t>Facturen verwerken</t>
        </is>
      </c>
      <c r="D6" s="35" t="inlineStr">
        <is>
          <t>Excel + Exact</t>
        </is>
      </c>
      <c r="E6" s="36" t="n">
        <v>10</v>
      </c>
      <c r="F6" s="37" t="inlineStr">
        <is>
          <t>JA</t>
        </is>
      </c>
      <c r="G6" s="36" t="n">
        <v>8</v>
      </c>
      <c r="H6" s="38" t="inlineStr">
        <is>
          <t>GPT-4 Vision + Make.com + Exact API</t>
        </is>
      </c>
    </row>
    <row r="7" ht="24" customHeight="1">
      <c r="B7" s="39" t="n">
        <v>2</v>
      </c>
      <c r="C7" s="39" t="inlineStr">
        <is>
          <t>Email sorteren / beantwoorden</t>
        </is>
      </c>
      <c r="D7" s="39" t="inlineStr">
        <is>
          <t>Outlook handmatig</t>
        </is>
      </c>
      <c r="E7" s="40" t="n">
        <v>8</v>
      </c>
      <c r="F7" s="41" t="inlineStr">
        <is>
          <t>DEELS</t>
        </is>
      </c>
      <c r="G7" s="40" t="n">
        <v>5</v>
      </c>
      <c r="H7" s="42" t="inlineStr">
        <is>
          <t>Claude + email-filters</t>
        </is>
      </c>
    </row>
    <row r="8" ht="24" customHeight="1">
      <c r="B8" s="35" t="n">
        <v>3</v>
      </c>
      <c r="C8" s="35" t="inlineStr">
        <is>
          <t>Klantvragen eerste lijn</t>
        </is>
      </c>
      <c r="D8" s="35" t="inlineStr">
        <is>
          <t>Telefoon + email</t>
        </is>
      </c>
      <c r="E8" s="36" t="n">
        <v>12</v>
      </c>
      <c r="F8" s="37" t="inlineStr">
        <is>
          <t>DEELS</t>
        </is>
      </c>
      <c r="G8" s="36" t="n">
        <v>6</v>
      </c>
      <c r="H8" s="38" t="inlineStr">
        <is>
          <t>AI Chatbot op website</t>
        </is>
      </c>
    </row>
    <row r="9" ht="24" customHeight="1">
      <c r="B9" s="39" t="n">
        <v>4</v>
      </c>
      <c r="C9" s="39" t="inlineStr">
        <is>
          <t>Wekelijkse rapportages</t>
        </is>
      </c>
      <c r="D9" s="39" t="inlineStr">
        <is>
          <t>Excel handmatig</t>
        </is>
      </c>
      <c r="E9" s="40" t="n">
        <v>5</v>
      </c>
      <c r="F9" s="41" t="inlineStr">
        <is>
          <t>JA</t>
        </is>
      </c>
      <c r="G9" s="40" t="n">
        <v>4</v>
      </c>
      <c r="H9" s="42" t="inlineStr">
        <is>
          <t>Claude + Google Sheets API</t>
        </is>
      </c>
    </row>
    <row r="10" ht="24" customHeight="1">
      <c r="B10" s="35" t="n">
        <v>5</v>
      </c>
      <c r="C10" s="35" t="inlineStr">
        <is>
          <t>LinkedIn content schrijven</t>
        </is>
      </c>
      <c r="D10" s="35" t="inlineStr">
        <is>
          <t>CEO eigen tijd</t>
        </is>
      </c>
      <c r="E10" s="36" t="n">
        <v>3</v>
      </c>
      <c r="F10" s="37" t="inlineStr">
        <is>
          <t>JA</t>
        </is>
      </c>
      <c r="G10" s="36" t="n">
        <v>2</v>
      </c>
      <c r="H10" s="38" t="inlineStr">
        <is>
          <t>Claude + content-templates</t>
        </is>
      </c>
    </row>
    <row r="11" ht="24" customHeight="1">
      <c r="B11" s="39" t="n">
        <v>6</v>
      </c>
      <c r="C11" s="39" t="inlineStr">
        <is>
          <t>Data-entry uit formulieren</t>
        </is>
      </c>
      <c r="D11" s="39" t="inlineStr">
        <is>
          <t>Handmatig typen</t>
        </is>
      </c>
      <c r="E11" s="40" t="n">
        <v>6</v>
      </c>
      <c r="F11" s="41" t="inlineStr">
        <is>
          <t>JA</t>
        </is>
      </c>
      <c r="G11" s="40" t="n">
        <v>5</v>
      </c>
      <c r="H11" s="42" t="inlineStr">
        <is>
          <t>GPT-4 Vision + Airtable</t>
        </is>
      </c>
    </row>
    <row r="12" ht="22" customHeight="1">
      <c r="B12" s="25" t="n">
        <v>7</v>
      </c>
      <c r="C12" s="26" t="n"/>
      <c r="D12" s="26" t="n"/>
      <c r="E12" s="26" t="n"/>
      <c r="F12" s="26" t="n"/>
      <c r="G12" s="26" t="n"/>
      <c r="H12" s="26" t="n"/>
    </row>
    <row r="13" ht="22" customHeight="1">
      <c r="B13" s="25" t="n">
        <v>8</v>
      </c>
      <c r="C13" s="26" t="n"/>
      <c r="D13" s="26" t="n"/>
      <c r="E13" s="26" t="n"/>
      <c r="F13" s="26" t="n"/>
      <c r="G13" s="26" t="n"/>
      <c r="H13" s="26" t="n"/>
    </row>
    <row r="14" ht="22" customHeight="1">
      <c r="B14" s="25" t="n">
        <v>9</v>
      </c>
      <c r="C14" s="26" t="n"/>
      <c r="D14" s="26" t="n"/>
      <c r="E14" s="26" t="n"/>
      <c r="F14" s="26" t="n"/>
      <c r="G14" s="26" t="n"/>
      <c r="H14" s="26" t="n"/>
    </row>
    <row r="15" ht="22" customHeight="1">
      <c r="B15" s="25" t="n">
        <v>10</v>
      </c>
      <c r="C15" s="26" t="n"/>
      <c r="D15" s="26" t="n"/>
      <c r="E15" s="26" t="n"/>
      <c r="F15" s="26" t="n"/>
      <c r="G15" s="26" t="n"/>
      <c r="H15" s="26" t="n"/>
    </row>
    <row r="16" ht="30" customHeight="1">
      <c r="B16" s="27" t="inlineStr">
        <is>
          <t>TOTAAL</t>
        </is>
      </c>
      <c r="C16" s="43" t="n"/>
      <c r="D16" s="43" t="n"/>
      <c r="E16" s="44">
        <f>SUM(E6:E15)</f>
        <v/>
      </c>
      <c r="F16" s="43" t="n"/>
      <c r="G16" s="44">
        <f>SUM(G6:G15)</f>
        <v/>
      </c>
      <c r="H16" s="43" t="n"/>
    </row>
    <row r="18" ht="28" customHeight="1">
      <c r="B18" s="45" t="inlineStr">
        <is>
          <t>Totale potentiële tijdsbesparing per week — gebruik dit getal in de ROI Calculator</t>
        </is>
      </c>
    </row>
  </sheetData>
  <mergeCells count="1">
    <mergeCell ref="B18:H18"/>
  </mergeCells>
  <conditionalFormatting sqref="F6:F11">
    <cfRule type="expression" priority="1" dxfId="0">
      <formula>F6="JA"</formula>
    </cfRule>
    <cfRule type="expression" priority="2" dxfId="1">
      <formula>F6="DEELS"</formula>
    </cfRule>
    <cfRule type="expression" priority="3" dxfId="2">
      <formula>F6="NEE"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22" customWidth="1" min="4" max="4"/>
    <col width="2" customWidth="1" min="5" max="5"/>
  </cols>
  <sheetData>
    <row r="2" ht="32" customHeight="1">
      <c r="B2" s="12" t="inlineStr">
        <is>
          <t>ROI Calculator</t>
        </is>
      </c>
    </row>
    <row r="3" ht="18" customHeight="1">
      <c r="B3" s="13" t="inlineStr">
        <is>
          <t>Vul je uurtarief en geschatte besparing in — zie meteen wat het oplevert</t>
        </is>
      </c>
    </row>
    <row r="4" ht="12" customHeight="1"/>
    <row r="5" ht="28" customHeight="1">
      <c r="B5" s="46" t="inlineStr">
        <is>
          <t xml:space="preserve">  INVOER  (vul deze in)</t>
        </is>
      </c>
    </row>
    <row r="6" ht="28" customHeight="1">
      <c r="B6" s="47" t="inlineStr">
        <is>
          <t>Gemiddeld uurtarief in jouw bedrijf</t>
        </is>
      </c>
      <c r="D6" s="48" t="n">
        <v>50</v>
      </c>
    </row>
    <row r="7" ht="28" customHeight="1">
      <c r="B7" s="47" t="inlineStr">
        <is>
          <t>Geschatte besparing per week (uren)</t>
        </is>
      </c>
      <c r="D7" s="49" t="n">
        <v>20</v>
      </c>
    </row>
    <row r="8" ht="28" customHeight="1">
      <c r="B8" s="47" t="inlineStr">
        <is>
          <t>Aantal werkweken per jaar</t>
        </is>
      </c>
      <c r="D8" s="50" t="n">
        <v>50</v>
      </c>
    </row>
    <row r="9" ht="12" customHeight="1"/>
    <row r="10" ht="28" customHeight="1">
      <c r="B10" s="51" t="inlineStr">
        <is>
          <t xml:space="preserve">  RESULTATEN  (automatisch berekend)</t>
        </is>
      </c>
    </row>
    <row r="11" ht="28" customHeight="1">
      <c r="B11" s="47" t="inlineStr">
        <is>
          <t>Besparing per week</t>
        </is>
      </c>
      <c r="D11" s="52">
        <f>D6*D7</f>
        <v/>
      </c>
    </row>
    <row r="12" ht="28" customHeight="1">
      <c r="B12" s="47" t="inlineStr">
        <is>
          <t>Besparing per maand</t>
        </is>
      </c>
      <c r="D12" s="52">
        <f>D6*D7*4.33</f>
        <v/>
      </c>
    </row>
    <row r="13" ht="32" customHeight="1">
      <c r="B13" s="47" t="inlineStr">
        <is>
          <t>Besparing per jaar</t>
        </is>
      </c>
      <c r="D13" s="53">
        <f>D6*D7*D8</f>
        <v/>
      </c>
    </row>
    <row r="14" ht="16" customHeight="1"/>
    <row r="15" ht="28" customHeight="1">
      <c r="B15" s="54" t="inlineStr">
        <is>
          <t xml:space="preserve">  PROJECT INVESTERING &amp; TERUGVERDIENTIJD</t>
        </is>
      </c>
    </row>
    <row r="16" ht="28" customHeight="1">
      <c r="B16" s="47" t="inlineStr">
        <is>
          <t>Eenmalige AI-implementatie investering (gemiddeld)</t>
        </is>
      </c>
      <c r="D16" s="55" t="n">
        <v>12000</v>
      </c>
    </row>
    <row r="17" ht="28" customHeight="1">
      <c r="B17" s="47" t="inlineStr">
        <is>
          <t>Terugverdientijd</t>
        </is>
      </c>
      <c r="D17" s="56">
        <f>D16/(D6*D7*4.33)</f>
        <v/>
      </c>
    </row>
    <row r="18" ht="32" customHeight="1">
      <c r="B18" s="47" t="inlineStr">
        <is>
          <t>ROI in jaar 1</t>
        </is>
      </c>
      <c r="D18" s="57">
        <f>(D6*D7*D8-D16)/D16</f>
        <v/>
      </c>
    </row>
    <row r="20" ht="12" customHeight="1"/>
    <row r="21" ht="36" customHeight="1">
      <c r="B21" s="58" t="inlineStr">
        <is>
          <t>💡 De getallen hierboven zijn voorbeeld-input. Vervang ze door je eigen cijfers — de formules berekenen automatisch je ROI.</t>
        </is>
      </c>
    </row>
  </sheetData>
  <mergeCells count="4">
    <mergeCell ref="B10:D10"/>
    <mergeCell ref="B5:D5"/>
    <mergeCell ref="B21:D21"/>
    <mergeCell ref="B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6" customWidth="1" min="3" max="3"/>
    <col width="16" customWidth="1" min="4" max="4"/>
    <col width="18" customWidth="1" min="5" max="5"/>
    <col width="14" customWidth="1" min="6" max="6"/>
    <col width="14" customWidth="1" min="7" max="7"/>
    <col width="2" customWidth="1" min="8" max="8"/>
  </cols>
  <sheetData>
    <row r="2" ht="32" customHeight="1">
      <c r="B2" s="12" t="inlineStr">
        <is>
          <t>Prioriteiten Actieplan</t>
        </is>
      </c>
    </row>
    <row r="3" ht="18" customHeight="1">
      <c r="B3" s="13" t="inlineStr">
        <is>
          <t>Geprioriteerd op impact (uren bespaard) ÷ implementatietijd — hoogste score eerst</t>
        </is>
      </c>
    </row>
    <row r="4" ht="8" customHeight="1"/>
    <row r="5" ht="28" customHeight="1">
      <c r="B5" s="14" t="inlineStr">
        <is>
          <t>Prioriteit</t>
        </is>
      </c>
      <c r="C5" s="14" t="inlineStr">
        <is>
          <t>Actie</t>
        </is>
      </c>
      <c r="D5" s="14" t="inlineStr">
        <is>
          <t>Impact (u/wk)</t>
        </is>
      </c>
      <c r="E5" s="14" t="inlineStr">
        <is>
          <t>Implementatietijd</t>
        </is>
      </c>
      <c r="F5" s="14" t="inlineStr">
        <is>
          <t>Score</t>
        </is>
      </c>
      <c r="G5" s="14" t="inlineStr">
        <is>
          <t>Start</t>
        </is>
      </c>
    </row>
    <row r="6" ht="32" customHeight="1">
      <c r="B6" s="59" t="n">
        <v>1</v>
      </c>
      <c r="C6" s="60" t="inlineStr">
        <is>
          <t>Email classificatie &amp; routing</t>
        </is>
      </c>
      <c r="D6" s="61" t="n">
        <v>5</v>
      </c>
      <c r="E6" s="62" t="inlineStr">
        <is>
          <t>2 weken</t>
        </is>
      </c>
      <c r="F6" s="63" t="n">
        <v>2.5</v>
      </c>
      <c r="G6" s="64" t="inlineStr">
        <is>
          <t>Maand 1</t>
        </is>
      </c>
    </row>
    <row r="7" ht="32" customHeight="1">
      <c r="B7" s="59" t="n">
        <v>2</v>
      </c>
      <c r="C7" s="60" t="inlineStr">
        <is>
          <t>Factuurverwerking automatiseren</t>
        </is>
      </c>
      <c r="D7" s="61" t="n">
        <v>8</v>
      </c>
      <c r="E7" s="62" t="inlineStr">
        <is>
          <t>4 weken</t>
        </is>
      </c>
      <c r="F7" s="63" t="n">
        <v>2</v>
      </c>
      <c r="G7" s="64" t="inlineStr">
        <is>
          <t>Maand 1</t>
        </is>
      </c>
    </row>
    <row r="8" ht="32" customHeight="1">
      <c r="B8" s="59" t="n">
        <v>3</v>
      </c>
      <c r="C8" s="60" t="inlineStr">
        <is>
          <t>AI chatbot eerste lijn klantvragen</t>
        </is>
      </c>
      <c r="D8" s="61" t="n">
        <v>6</v>
      </c>
      <c r="E8" s="62" t="inlineStr">
        <is>
          <t>3 weken</t>
        </is>
      </c>
      <c r="F8" s="63" t="n">
        <v>2</v>
      </c>
      <c r="G8" s="64" t="inlineStr">
        <is>
          <t>Maand 1</t>
        </is>
      </c>
    </row>
    <row r="9" ht="32" customHeight="1">
      <c r="B9" s="65" t="n">
        <v>4</v>
      </c>
      <c r="C9" s="66" t="inlineStr">
        <is>
          <t>Wekelijkse rapportages automatiseren</t>
        </is>
      </c>
      <c r="D9" s="61" t="n">
        <v>4</v>
      </c>
      <c r="E9" s="62" t="inlineStr">
        <is>
          <t>2 weken</t>
        </is>
      </c>
      <c r="F9" s="67" t="n">
        <v>2</v>
      </c>
      <c r="G9" s="64" t="inlineStr">
        <is>
          <t>Maand 2</t>
        </is>
      </c>
    </row>
    <row r="10" ht="32" customHeight="1">
      <c r="B10" s="65" t="n">
        <v>5</v>
      </c>
      <c r="C10" s="66" t="inlineStr">
        <is>
          <t>Content-generator LinkedIn</t>
        </is>
      </c>
      <c r="D10" s="61" t="n">
        <v>2</v>
      </c>
      <c r="E10" s="62" t="inlineStr">
        <is>
          <t>1 week</t>
        </is>
      </c>
      <c r="F10" s="67" t="n">
        <v>2</v>
      </c>
      <c r="G10" s="64" t="inlineStr">
        <is>
          <t>Maand 2</t>
        </is>
      </c>
    </row>
    <row r="11" ht="32" customHeight="1">
      <c r="B11" s="65" t="n">
        <v>6</v>
      </c>
      <c r="C11" s="66" t="inlineStr">
        <is>
          <t>Data-entry uit formulieren</t>
        </is>
      </c>
      <c r="D11" s="61" t="n">
        <v>5</v>
      </c>
      <c r="E11" s="62" t="inlineStr">
        <is>
          <t>3 weken</t>
        </is>
      </c>
      <c r="F11" s="67" t="n">
        <v>1.67</v>
      </c>
      <c r="G11" s="64" t="inlineStr">
        <is>
          <t>Maand 3</t>
        </is>
      </c>
    </row>
    <row r="14" ht="36" customHeight="1">
      <c r="B14" s="68" t="inlineStr">
        <is>
          <t>💡 Begin met Prioriteit 1, 2 en 3 — die hebben de hoogste score (impact ÷ tijd) en daarmee de snelste payback</t>
        </is>
      </c>
    </row>
  </sheetData>
  <mergeCells count="1">
    <mergeCell ref="B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32" customHeight="1">
      <c r="B2" s="12" t="inlineStr">
        <is>
          <t>Volgende Stappen</t>
        </is>
      </c>
    </row>
    <row r="3" ht="22" customHeight="1">
      <c r="B3" s="69" t="inlineStr">
        <is>
          <t>Je hebt nu een complete audit. Wat doe je hiermee?</t>
        </is>
      </c>
    </row>
    <row r="4" ht="12" customHeight="1"/>
    <row r="5" ht="24" customHeight="1">
      <c r="B5" s="3" t="inlineStr">
        <is>
          <t>Wat je nu hebt</t>
        </is>
      </c>
    </row>
    <row r="6" ht="24" customHeight="1">
      <c r="B6" s="70" t="inlineStr">
        <is>
          <t>✓  Compleet overzicht van alle huidige tools en jaarlijkse kosten</t>
        </is>
      </c>
    </row>
    <row r="7" ht="24" customHeight="1">
      <c r="B7" s="70" t="inlineStr">
        <is>
          <t>✓  Inzicht in welke tools je kunt schrappen of vervangen</t>
        </is>
      </c>
    </row>
    <row r="8" ht="24" customHeight="1">
      <c r="B8" s="70" t="inlineStr">
        <is>
          <t>✓  Concrete AI-oplossingen voor je bedrijfsprocessen</t>
        </is>
      </c>
    </row>
    <row r="9" ht="24" customHeight="1">
      <c r="B9" s="70" t="inlineStr">
        <is>
          <t>✓  ROI-berekening op basis van je eigen cijfers</t>
        </is>
      </c>
    </row>
    <row r="10" ht="24" customHeight="1">
      <c r="B10" s="70" t="inlineStr">
        <is>
          <t>✓  Geprioriteerde implementatie-volgorde</t>
        </is>
      </c>
    </row>
    <row r="11" ht="16" customHeight="1"/>
    <row r="12" ht="24" customHeight="1">
      <c r="B12" s="3" t="inlineStr">
        <is>
          <t>Twee paden vanaf hier</t>
        </is>
      </c>
    </row>
    <row r="13" ht="12" customHeight="1"/>
    <row r="14" ht="24" customHeight="1">
      <c r="B14" s="71" t="inlineStr">
        <is>
          <t>Pad 1 — Doe het zelf</t>
        </is>
      </c>
    </row>
    <row r="15" ht="50" customHeight="1">
      <c r="B15" s="72" t="inlineStr">
        <is>
          <t>Begin met Prioriteit 1 uit je actieplan. Gebruik tools als Make.com, OpenAI API en Google Sheets. Reken op 2-4 weken implementatietijd per proces.</t>
        </is>
      </c>
    </row>
    <row r="16" ht="12" customHeight="1"/>
    <row r="17" ht="24" customHeight="1">
      <c r="B17" s="73" t="inlineStr">
        <is>
          <t>Pad 2 — Laat het bouwen</t>
        </is>
      </c>
    </row>
    <row r="18" ht="50" customHeight="1">
      <c r="B18" s="72" t="inlineStr">
        <is>
          <t>Boek een gratis strategiegesprek (30 min). Wij analyseren je audit, geven onafhankelijk advies, en bouwen het indien gewenst voor je. Geen verkoopverhaal.</t>
        </is>
      </c>
    </row>
    <row r="19" ht="16" customHeight="1"/>
    <row r="20" ht="44" customHeight="1">
      <c r="B20" s="74" t="inlineStr">
        <is>
          <t>Plan je gratis strategiegesprek</t>
        </is>
      </c>
    </row>
    <row r="21" ht="24" customHeight="1">
      <c r="B21" s="10" t="inlineStr">
        <is>
          <t>30 minuten · Vrijblijvend · Geen verkoopverhaal</t>
        </is>
      </c>
    </row>
    <row r="22" ht="32" customHeight="1">
      <c r="B22" s="75" t="inlineStr">
        <is>
          <t>👉  cal.com/vandeeaisolutions/discoverycall</t>
        </is>
      </c>
    </row>
    <row r="23" ht="12" customHeight="1"/>
    <row r="24" ht="22" customHeight="1">
      <c r="B24" s="76" t="inlineStr">
        <is>
          <t>Robbert van Dee  ·  Founder Van Dee AI Solutions</t>
        </is>
      </c>
    </row>
    <row r="25" ht="20" customHeight="1">
      <c r="B25" s="77" t="inlineStr">
        <is>
          <t>Tiel, Gelderland  ·  KvK 85394041  ·  robbert@vandeeaisolutions.com</t>
        </is>
      </c>
    </row>
    <row r="26" ht="20" customHeight="1">
      <c r="B26" s="78" t="inlineStr">
        <is>
          <t>vandeeaisolutions.com</t>
        </is>
      </c>
    </row>
  </sheetData>
  <mergeCells count="1">
    <mergeCell ref="B20"/>
  </mergeCells>
  <hyperlinks>
    <hyperlink xmlns:r="http://schemas.openxmlformats.org/officeDocument/2006/relationships" ref="B22" r:id="rId1"/>
    <hyperlink xmlns:r="http://schemas.openxmlformats.org/officeDocument/2006/relationships" ref="B2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2026-05-04T09:12:56Z</dcterms:created>
  <dcterms:modified xmlns:dcterms="http://purl.org/dc/terms/" xmlns:xsi="http://www.w3.org/2001/XMLSchema-instance" xsi:type="dcterms:W3CDTF">2026-05-04T09:12:56Z</dcterms:modified>
</cp:coreProperties>
</file>